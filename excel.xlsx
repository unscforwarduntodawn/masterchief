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n_1\OneDrive\Documents\FAU MBA\Advanced Corporate Finance\"/>
    </mc:Choice>
  </mc:AlternateContent>
  <xr:revisionPtr revIDLastSave="0" documentId="13_ncr:1_{4D0841D3-7582-4C1D-B8AC-95BBD040E937}" xr6:coauthVersionLast="47" xr6:coauthVersionMax="47" xr10:uidLastSave="{00000000-0000-0000-0000-000000000000}"/>
  <bookViews>
    <workbookView xWindow="-93" yWindow="-93" windowWidth="25786" windowHeight="13866" xr2:uid="{EBD1D45A-C3DF-4B35-BD51-8E6410E2A14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1" l="1"/>
  <c r="G18" i="1"/>
  <c r="H18" i="1"/>
  <c r="H13" i="1"/>
  <c r="G13" i="1"/>
  <c r="F13" i="1"/>
  <c r="H17" i="1" l="1"/>
  <c r="G17" i="1"/>
  <c r="F17" i="1"/>
  <c r="H16" i="1"/>
  <c r="G16" i="1"/>
  <c r="F16" i="1"/>
  <c r="H12" i="1"/>
  <c r="G12" i="1"/>
  <c r="F12" i="1"/>
  <c r="G6" i="1"/>
  <c r="H6" i="1"/>
  <c r="H11" i="1"/>
  <c r="G11" i="1"/>
  <c r="F11" i="1"/>
  <c r="H8" i="1"/>
  <c r="G8" i="1"/>
  <c r="F8" i="1"/>
  <c r="H7" i="1"/>
  <c r="G7" i="1"/>
  <c r="F7" i="1"/>
  <c r="F6" i="1"/>
</calcChain>
</file>

<file path=xl/sharedStrings.xml><?xml version="1.0" encoding="utf-8"?>
<sst xmlns="http://schemas.openxmlformats.org/spreadsheetml/2006/main" count="23" uniqueCount="23">
  <si>
    <t>Profitability Ratios</t>
  </si>
  <si>
    <t>Gross Profit Margin</t>
  </si>
  <si>
    <t>Return on Assets (ROA)</t>
  </si>
  <si>
    <t>Return on Equity (ROE)</t>
  </si>
  <si>
    <t>Liquidity Ratios</t>
  </si>
  <si>
    <t>Current Ratio</t>
  </si>
  <si>
    <t>Quick Ratio</t>
  </si>
  <si>
    <t>Leverage Ratios</t>
  </si>
  <si>
    <t>Debt to Equity</t>
  </si>
  <si>
    <t>(Net Income/Sales)</t>
  </si>
  <si>
    <t xml:space="preserve"> </t>
  </si>
  <si>
    <t>(NI/TL Assets)</t>
  </si>
  <si>
    <t>Financial Ratios for Amazon 2014-2016 ($ Millions) Based on Exhibit 2</t>
  </si>
  <si>
    <t>(NI/TL Equity)</t>
  </si>
  <si>
    <t>(C.A/C.L)</t>
  </si>
  <si>
    <t>(C.A-Inventory)/C.L</t>
  </si>
  <si>
    <t>(T.Debt/T.Equity)</t>
  </si>
  <si>
    <t>Debt Ratio</t>
  </si>
  <si>
    <t>(T.Debt/T. Assets)</t>
  </si>
  <si>
    <t>Cash Ratio</t>
  </si>
  <si>
    <t>(Cash/C.Liabilities)</t>
  </si>
  <si>
    <t>Total Debt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</si>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</sst>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0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F1FA-CCBE-4E53-9AF5-635157B95FED}">
  <dimension ref="A2:K19"/>
  <sheetViews>
    <sheetView tabSelected="1" workbookViewId="0">
      <selection activeCell="N11" sqref="N11"/>
    </sheetView>
  </sheetViews>
  <sheetFormatPr defaultRowHeight="14.35" x14ac:dyDescent="0.5"/>
  <cols>
    <col min="6" max="6" width="9.5859375" bestFit="1" customWidth="1"/>
    <col min="9" max="9" width="43.29296875" bestFit="1" customWidth="1"/>
  </cols>
  <sheetData>
    <row r="2" spans="1:11" x14ac:dyDescent="0.5">
      <c r="A2" s="1" t="s">
        <v>12</v>
      </c>
    </row>
    <row r="4" spans="1:11" x14ac:dyDescent="0.5">
      <c r="F4">
        <v>2016</v>
      </c>
      <c r="G4">
        <v>2015</v>
      </c>
      <c r="H4">
        <v>2014</v>
      </c>
    </row>
    <row r="5" spans="1:11" x14ac:dyDescent="0.5">
      <c r="A5" s="1" t="s">
        <v>0</v>
      </c>
    </row>
    <row r="6" spans="1:11" x14ac:dyDescent="0.5">
      <c r="A6" t="s">
        <v>1</v>
      </c>
      <c r="C6" t="s">
        <v>9</v>
      </c>
      <c r="F6" s="2">
        <f>2371/135987</f>
        <v>1.7435490157147373E-2</v>
      </c>
      <c r="G6" s="2">
        <f>596/107006</f>
        <v>5.5697811337681999E-3</v>
      </c>
      <c r="H6" s="4">
        <f>-241/88988</f>
        <v>-2.7082303231896437E-3</v>
      </c>
      <c r="K6" s="3" t="s">
        <v>10</v>
      </c>
    </row>
    <row r="7" spans="1:11" x14ac:dyDescent="0.5">
      <c r="A7" t="s">
        <v>2</v>
      </c>
      <c r="D7" t="s">
        <v>11</v>
      </c>
      <c r="F7" s="2">
        <f>2371/83402</f>
        <v>2.842857485432004E-2</v>
      </c>
      <c r="G7" s="2">
        <f>596/64747</f>
        <v>9.2050596938854316E-3</v>
      </c>
      <c r="H7" s="2">
        <f>-241/54505</f>
        <v>-4.4216126960829284E-3</v>
      </c>
    </row>
    <row r="8" spans="1:11" x14ac:dyDescent="0.5">
      <c r="A8" t="s">
        <v>3</v>
      </c>
      <c r="D8" t="s">
        <v>13</v>
      </c>
      <c r="F8" s="2">
        <f>2371/19285</f>
        <v>0.12294529427015816</v>
      </c>
      <c r="G8" s="2">
        <f>596/13384</f>
        <v>4.4530783024506873E-2</v>
      </c>
      <c r="H8" s="2">
        <f>-241/10741</f>
        <v>-2.2437389442323805E-2</v>
      </c>
    </row>
    <row r="10" spans="1:11" x14ac:dyDescent="0.5">
      <c r="A10" s="1" t="s">
        <v>4</v>
      </c>
    </row>
    <row r="11" spans="1:11" x14ac:dyDescent="0.5">
      <c r="A11" t="s">
        <v>5</v>
      </c>
      <c r="D11" t="s">
        <v>14</v>
      </c>
      <c r="F11" s="3">
        <f>45781/43816</f>
        <v>1.0448466313675371</v>
      </c>
      <c r="G11" s="3">
        <f>35705/33887</f>
        <v>1.0536488919054505</v>
      </c>
      <c r="H11" s="3">
        <f>31327/28089</f>
        <v>1.1152764427355903</v>
      </c>
    </row>
    <row r="12" spans="1:11" x14ac:dyDescent="0.5">
      <c r="A12" t="s">
        <v>6</v>
      </c>
      <c r="D12" t="s">
        <v>15</v>
      </c>
      <c r="F12" s="5">
        <f>(45781-11461)/43816</f>
        <v>0.78327551579331756</v>
      </c>
      <c r="G12" s="5">
        <f>(35705-10243)/33887</f>
        <v>0.75137958509162805</v>
      </c>
      <c r="H12" s="5">
        <f>(31327-8299)/28089</f>
        <v>0.81982270639752219</v>
      </c>
    </row>
    <row r="13" spans="1:11" x14ac:dyDescent="0.5">
      <c r="A13" t="s">
        <v>19</v>
      </c>
      <c r="D13" t="s">
        <v>20</v>
      </c>
      <c r="F13" s="5">
        <f>19334/43816</f>
        <v>0.44125433631550121</v>
      </c>
      <c r="G13" s="5">
        <f>15890/33887</f>
        <v>0.46891138194587895</v>
      </c>
      <c r="H13" s="5">
        <f>14557/28089</f>
        <v>0.5182455765602193</v>
      </c>
    </row>
    <row r="15" spans="1:11" x14ac:dyDescent="0.5">
      <c r="A15" s="1" t="s">
        <v>7</v>
      </c>
    </row>
    <row r="16" spans="1:11" x14ac:dyDescent="0.5">
      <c r="A16" t="s">
        <v>8</v>
      </c>
      <c r="D16" t="s">
        <v>16</v>
      </c>
      <c r="F16" s="5">
        <f>64117/19285</f>
        <v>3.3247083225304639</v>
      </c>
      <c r="G16" s="5">
        <f>51363/13384</f>
        <v>3.8376419605499104</v>
      </c>
      <c r="H16" s="5">
        <f>43764/10741</f>
        <v>4.0744809608043946</v>
      </c>
    </row>
    <row r="17" spans="1:8" x14ac:dyDescent="0.5">
      <c r="A17" t="s">
        <v>17</v>
      </c>
      <c r="D17" t="s">
        <v>18</v>
      </c>
      <c r="F17" s="5">
        <f>64117/83402</f>
        <v>0.7687705330807415</v>
      </c>
      <c r="G17" s="5">
        <f>51363/64747</f>
        <v>0.79328771989435809</v>
      </c>
      <c r="H17" s="5">
        <f>43764/54505</f>
        <v>0.80293551050362355</v>
      </c>
    </row>
    <row r="18" spans="1:8" x14ac:dyDescent="0.5">
      <c r="E18" t="s">
        <v>21</v>
      </c>
      <c r="F18">
        <f>83402-F19</f>
        <v>64117</v>
      </c>
      <c r="G18">
        <f>64747-G19</f>
        <v>51363</v>
      </c>
      <c r="H18">
        <f>54505-H19</f>
        <v>43764</v>
      </c>
    </row>
    <row r="19" spans="1:8" x14ac:dyDescent="0.5">
      <c r="E19" t="s">
        <v>22</v>
      </c>
      <c r="F19">
        <v>19285</v>
      </c>
      <c r="G19">
        <v>13384</v>
      </c>
      <c r="H19">
        <v>10741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SuperUser</dc:creator>
  <cp:lastModifiedBy>Alonso Meza</cp:lastModifiedBy>
  <cp:lastPrinted>2022-01-23T21:09:45Z</cp:lastPrinted>
  <dcterms:created xsi:type="dcterms:W3CDTF">2022-01-23T19:10:48Z</dcterms:created>
  <dcterms:modified xsi:type="dcterms:W3CDTF">2026-10-24T23:59:53Z</dcterms:modified>
</cp:coreProperties>
</file>